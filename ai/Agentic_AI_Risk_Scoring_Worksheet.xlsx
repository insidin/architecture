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juyttenh/Downloads/"/>
    </mc:Choice>
  </mc:AlternateContent>
  <xr:revisionPtr revIDLastSave="0" documentId="13_ncr:1_{58F092BE-E621-7541-B790-8C9978988230}" xr6:coauthVersionLast="47" xr6:coauthVersionMax="47" xr10:uidLastSave="{00000000-0000-0000-0000-000000000000}"/>
  <bookViews>
    <workbookView xWindow="1860" yWindow="1400" windowWidth="25720" windowHeight="14700" activeTab="1" xr2:uid="{00000000-000D-0000-FFFF-FFFF00000000}"/>
  </bookViews>
  <sheets>
    <sheet name="Inputs" sheetId="1" r:id="rId1"/>
    <sheet name="Calcula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2" i="2"/>
  <c r="C3" i="2"/>
  <c r="C8" i="2"/>
  <c r="C9" i="2"/>
  <c r="D10" i="2" s="1"/>
  <c r="C7" i="2"/>
  <c r="C6" i="2"/>
  <c r="C5" i="2"/>
  <c r="C4" i="2"/>
  <c r="C2" i="2"/>
  <c r="D9" i="2" l="1"/>
  <c r="C10" i="2" s="1"/>
  <c r="C11" i="2"/>
  <c r="D11" i="2" s="1"/>
</calcChain>
</file>

<file path=xl/sharedStrings.xml><?xml version="1.0" encoding="utf-8"?>
<sst xmlns="http://schemas.openxmlformats.org/spreadsheetml/2006/main" count="89" uniqueCount="75">
  <si>
    <t>Section</t>
  </si>
  <si>
    <t>Field</t>
  </si>
  <si>
    <t>Value</t>
  </si>
  <si>
    <t>Allowed Values</t>
  </si>
  <si>
    <t>Explanation / Guidance</t>
  </si>
  <si>
    <t>Autonomy (sub-factors)</t>
  </si>
  <si>
    <t>Planning breadth</t>
  </si>
  <si>
    <t>1=Fixed linear; 2=Branching (2–3 steps); 3=Open-ended/sub-goals</t>
  </si>
  <si>
    <t>How widely can the agent plan? Broader planning increases unpredictability.</t>
  </si>
  <si>
    <t>Tool privilege (read-only)</t>
  </si>
  <si>
    <t>1=Single read API; 2=Multiple read tools; 3=Tool hub / cross-domain reads</t>
  </si>
  <si>
    <t>How many tools/connectors and how broad their read scopes are.</t>
  </si>
  <si>
    <t>Looping &amp; retries</t>
  </si>
  <si>
    <t>1=None; 2=Bounded retries; 3=Self-directed iteration</t>
  </si>
  <si>
    <t>More retries/loops mean more variability in behavior and cost.</t>
  </si>
  <si>
    <t>Human oversight (raw)</t>
  </si>
  <si>
    <t>1=Approvals at key steps; 2=Post-facto review; 3=None</t>
  </si>
  <si>
    <t>Oversight lowers effective autonomy; the worksheet inverts this value.</t>
  </si>
  <si>
    <t>Agent/tool count &amp; orchestration</t>
  </si>
  <si>
    <t>1=Single agent; 2=Agent + router/MCP (2–3 tools); 3=Multi-agent or tool mesh</t>
  </si>
  <si>
    <t>More moving parts increase coordination risk and unpredictability.</t>
  </si>
  <si>
    <t>Data (PII)</t>
  </si>
  <si>
    <t>PII sensitivity</t>
  </si>
  <si>
    <t>1=None/pseudonymized; 2=Basic identifiers; 3=Special categories/HR/health/children</t>
  </si>
  <si>
    <t>Judge personal data sensitivity independently of corporate classification.</t>
  </si>
  <si>
    <t>Data (Corporate classification)</t>
  </si>
  <si>
    <t>Corporate data classification</t>
  </si>
  <si>
    <t>1=Public/internal-public; 2=Confidential; 3=Restricted/Secret</t>
  </si>
  <si>
    <t>Use your org’s data classification; pick the stricter level when in doubt.</t>
  </si>
  <si>
    <t>Exposure</t>
  </si>
  <si>
    <t>Audience exposure</t>
  </si>
  <si>
    <t>1=Internal; 2=Partners/controlled; 3=Public/customer-facing</t>
  </si>
  <si>
    <t>Who is affected by the agent’s outputs?</t>
  </si>
  <si>
    <t>Modifiers (+ raises risk; − lowers risk)</t>
  </si>
  <si>
    <t>Cost volatility</t>
  </si>
  <si>
    <t>0, 0.25, 0.5</t>
  </si>
  <si>
    <t>How unpredictable are tokens/tool calls? Tight caps/caching reduce this.</t>
  </si>
  <si>
    <t>Security surface</t>
  </si>
  <si>
    <t>How broad is egress/third-party exposure? Allow-lists and vaulted secrets reduce this.</t>
  </si>
  <si>
    <t>Observability &amp; guardrails</t>
  </si>
  <si>
    <t>0, -0.25, -0.5</t>
  </si>
  <si>
    <t>Step traces, redaction, injection filters, circuit breakers lower risk.</t>
  </si>
  <si>
    <t>Regulatory context</t>
  </si>
  <si>
    <t>Add if HR/health/children/safety or multi-jurisdiction transfers apply.</t>
  </si>
  <si>
    <t>Optional data amplifiers</t>
  </si>
  <si>
    <t>Data sprawl (≥3 independent sources)</t>
  </si>
  <si>
    <t>0 or 0.25</t>
  </si>
  <si>
    <t>Set 0.25 if the agent commonly uses 3+ independent sources per task.</t>
  </si>
  <si>
    <t>Log exposure (raw PII/sensitive retained)</t>
  </si>
  <si>
    <t>Set 0.25 if raw identifiers are kept in conversation history.</t>
  </si>
  <si>
    <t>Optional exposure amplifier</t>
  </si>
  <si>
    <t>Blast radius / low reversibility</t>
  </si>
  <si>
    <t>Set 0.25 if outputs propagate widely or are hard to retract.</t>
  </si>
  <si>
    <t>Metric</t>
  </si>
  <si>
    <t>Formula / Logic (human-readable)</t>
  </si>
  <si>
    <t>Excel Formula</t>
  </si>
  <si>
    <t>Result</t>
  </si>
  <si>
    <t>Oversight contribution</t>
  </si>
  <si>
    <t>Invert the raw oversight (1→3, 2→2, 3→1): contribution = 4 - Oversight(raw)</t>
  </si>
  <si>
    <t>Autonomy (average, rounded up)</t>
  </si>
  <si>
    <t>Average of: planning breadth, tool privilege, looping &amp; retries, oversight contribution, agent/tool count; round up</t>
  </si>
  <si>
    <t>Copy the PII level</t>
  </si>
  <si>
    <t>Data (Corporate)</t>
  </si>
  <si>
    <t>Copy the corporate classification level</t>
  </si>
  <si>
    <t>Data (overall = MAX of PII &amp; Corporate)</t>
  </si>
  <si>
    <t>Overall data level is the stricter (higher) of PII and corporate classification</t>
  </si>
  <si>
    <t>Copy the audience exposure level (highest applicable)</t>
  </si>
  <si>
    <t>Sum of modifiers</t>
  </si>
  <si>
    <t>Add cost volatility + security surface + observability&amp;guardrails + regulatory + amplifiers</t>
  </si>
  <si>
    <t>Base score</t>
  </si>
  <si>
    <t>Multiply Autonomy × Data(overall) × Exposure</t>
  </si>
  <si>
    <t>Final score</t>
  </si>
  <si>
    <t>Apply modifiers to the base score: Final = Base × (1 + Sum of modifiers)</t>
  </si>
  <si>
    <t>Risk band</t>
  </si>
  <si>
    <t>Map final score to bands: Green (≤3), Amber (4–12), Red (≥13)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</si>
</sst>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" fontId="0" fillId="2" borderId="0" xfId="0" applyNumberFormat="1" applyFill="1" applyAlignment="1">
      <alignment horizontal="center" vertical="top"/>
    </xf>
    <xf numFmtId="2" fontId="0" fillId="2" borderId="0" xfId="0" applyNumberFormat="1" applyFill="1" applyAlignment="1">
      <alignment horizontal="center" vertical="top"/>
    </xf>
    <xf numFmtId="0" fontId="0" fillId="2" borderId="0" xfId="0" quotePrefix="1" applyNumberForma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workbookViewId="0">
      <selection activeCell="D25" sqref="D25"/>
    </sheetView>
  </sheetViews>
  <sheetFormatPr baseColWidth="10" defaultColWidth="8.83203125" defaultRowHeight="15" x14ac:dyDescent="0.2"/>
  <cols>
    <col min="1" max="1" width="29.1640625" bestFit="1" customWidth="1"/>
    <col min="2" max="2" width="32" bestFit="1" customWidth="1"/>
    <col min="3" max="3" width="8.83203125" style="2"/>
    <col min="4" max="4" width="67" bestFit="1" customWidth="1"/>
    <col min="5" max="5" width="66.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s="5">
        <v>2</v>
      </c>
      <c r="D2" t="s">
        <v>7</v>
      </c>
      <c r="E2" t="s">
        <v>8</v>
      </c>
    </row>
    <row r="3" spans="1:5" x14ac:dyDescent="0.2">
      <c r="A3" t="s">
        <v>5</v>
      </c>
      <c r="B3" t="s">
        <v>9</v>
      </c>
      <c r="C3" s="5">
        <v>2</v>
      </c>
      <c r="D3" t="s">
        <v>10</v>
      </c>
      <c r="E3" t="s">
        <v>11</v>
      </c>
    </row>
    <row r="4" spans="1:5" x14ac:dyDescent="0.2">
      <c r="A4" t="s">
        <v>5</v>
      </c>
      <c r="B4" t="s">
        <v>12</v>
      </c>
      <c r="C4" s="5">
        <v>3</v>
      </c>
      <c r="D4" t="s">
        <v>13</v>
      </c>
      <c r="E4" t="s">
        <v>14</v>
      </c>
    </row>
    <row r="5" spans="1:5" x14ac:dyDescent="0.2">
      <c r="A5" t="s">
        <v>5</v>
      </c>
      <c r="B5" t="s">
        <v>15</v>
      </c>
      <c r="C5" s="5">
        <v>3</v>
      </c>
      <c r="D5" t="s">
        <v>16</v>
      </c>
      <c r="E5" t="s">
        <v>17</v>
      </c>
    </row>
    <row r="6" spans="1:5" x14ac:dyDescent="0.2">
      <c r="A6" t="s">
        <v>5</v>
      </c>
      <c r="B6" t="s">
        <v>18</v>
      </c>
      <c r="C6" s="5">
        <v>2</v>
      </c>
      <c r="D6" t="s">
        <v>19</v>
      </c>
      <c r="E6" t="s">
        <v>20</v>
      </c>
    </row>
    <row r="7" spans="1:5" x14ac:dyDescent="0.2">
      <c r="A7" t="s">
        <v>21</v>
      </c>
      <c r="B7" t="s">
        <v>22</v>
      </c>
      <c r="C7" s="5">
        <v>1</v>
      </c>
      <c r="D7" t="s">
        <v>23</v>
      </c>
      <c r="E7" t="s">
        <v>24</v>
      </c>
    </row>
    <row r="8" spans="1:5" x14ac:dyDescent="0.2">
      <c r="A8" t="s">
        <v>25</v>
      </c>
      <c r="B8" t="s">
        <v>26</v>
      </c>
      <c r="C8" s="5">
        <v>2</v>
      </c>
      <c r="D8" t="s">
        <v>27</v>
      </c>
      <c r="E8" t="s">
        <v>28</v>
      </c>
    </row>
    <row r="9" spans="1:5" x14ac:dyDescent="0.2">
      <c r="A9" t="s">
        <v>29</v>
      </c>
      <c r="B9" t="s">
        <v>30</v>
      </c>
      <c r="C9" s="5">
        <v>3</v>
      </c>
      <c r="D9" t="s">
        <v>31</v>
      </c>
      <c r="E9" t="s">
        <v>32</v>
      </c>
    </row>
    <row r="10" spans="1:5" x14ac:dyDescent="0.2">
      <c r="A10" t="s">
        <v>33</v>
      </c>
      <c r="B10" t="s">
        <v>34</v>
      </c>
      <c r="C10" s="6">
        <v>0.5</v>
      </c>
      <c r="D10" t="s">
        <v>35</v>
      </c>
      <c r="E10" t="s">
        <v>36</v>
      </c>
    </row>
    <row r="11" spans="1:5" x14ac:dyDescent="0.2">
      <c r="A11" t="s">
        <v>33</v>
      </c>
      <c r="B11" t="s">
        <v>37</v>
      </c>
      <c r="C11" s="6">
        <v>0.25</v>
      </c>
      <c r="D11" t="s">
        <v>35</v>
      </c>
      <c r="E11" t="s">
        <v>38</v>
      </c>
    </row>
    <row r="12" spans="1:5" x14ac:dyDescent="0.2">
      <c r="A12" t="s">
        <v>33</v>
      </c>
      <c r="B12" t="s">
        <v>39</v>
      </c>
      <c r="C12" s="7">
        <v>-0.25</v>
      </c>
      <c r="D12" t="s">
        <v>40</v>
      </c>
      <c r="E12" t="s">
        <v>41</v>
      </c>
    </row>
    <row r="13" spans="1:5" x14ac:dyDescent="0.2">
      <c r="A13" t="s">
        <v>33</v>
      </c>
      <c r="B13" t="s">
        <v>42</v>
      </c>
      <c r="C13" s="6">
        <v>0</v>
      </c>
      <c r="D13" t="s">
        <v>35</v>
      </c>
      <c r="E13" t="s">
        <v>43</v>
      </c>
    </row>
    <row r="14" spans="1:5" x14ac:dyDescent="0.2">
      <c r="A14" t="s">
        <v>44</v>
      </c>
      <c r="B14" t="s">
        <v>45</v>
      </c>
      <c r="C14" s="6">
        <v>0</v>
      </c>
      <c r="D14" t="s">
        <v>46</v>
      </c>
      <c r="E14" t="s">
        <v>47</v>
      </c>
    </row>
    <row r="15" spans="1:5" x14ac:dyDescent="0.2">
      <c r="A15" t="s">
        <v>44</v>
      </c>
      <c r="B15" t="s">
        <v>48</v>
      </c>
      <c r="C15" s="6">
        <v>0</v>
      </c>
      <c r="D15" t="s">
        <v>46</v>
      </c>
      <c r="E15" t="s">
        <v>49</v>
      </c>
    </row>
    <row r="16" spans="1:5" x14ac:dyDescent="0.2">
      <c r="A16" t="s">
        <v>50</v>
      </c>
      <c r="B16" t="s">
        <v>51</v>
      </c>
      <c r="C16" s="6">
        <v>0.25</v>
      </c>
      <c r="D16" t="s">
        <v>46</v>
      </c>
      <c r="E16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tabSelected="1" workbookViewId="0">
      <selection activeCell="B22" sqref="B22"/>
    </sheetView>
  </sheetViews>
  <sheetFormatPr baseColWidth="10" defaultColWidth="8.83203125" defaultRowHeight="15" x14ac:dyDescent="0.2"/>
  <cols>
    <col min="1" max="1" width="30.5" bestFit="1" customWidth="1"/>
    <col min="2" max="2" width="89" bestFit="1" customWidth="1"/>
    <col min="3" max="3" width="11.83203125" style="3" hidden="1" customWidth="1"/>
    <col min="4" max="4" width="8.83203125" style="3"/>
  </cols>
  <sheetData>
    <row r="1" spans="1:4" x14ac:dyDescent="0.2">
      <c r="A1" s="1" t="s">
        <v>53</v>
      </c>
      <c r="B1" s="1" t="s">
        <v>54</v>
      </c>
      <c r="C1" s="1" t="s">
        <v>55</v>
      </c>
      <c r="D1" s="1" t="s">
        <v>56</v>
      </c>
    </row>
    <row r="2" spans="1:4" x14ac:dyDescent="0.2">
      <c r="A2" t="s">
        <v>57</v>
      </c>
      <c r="B2" t="s">
        <v>58</v>
      </c>
      <c r="C2" s="3">
        <f>4 - INDEX(Inputs!C:C, MATCH("Human oversight (raw)", Inputs!B:B, 0))</f>
        <v>1</v>
      </c>
      <c r="D2" s="3">
        <f>C2</f>
        <v>1</v>
      </c>
    </row>
    <row r="3" spans="1:4" x14ac:dyDescent="0.2">
      <c r="A3" t="s">
        <v>59</v>
      </c>
      <c r="B3" t="s">
        <v>60</v>
      </c>
      <c r="C3" s="3">
        <f>ROUNDUP(AVERAGE(INDEX(Inputs!C:C, MATCH("Planning breadth", Inputs!B:B, 0)),INDEX(Inputs!C:C, MATCH("Tool privilege (read-only)", Inputs!B:B, 0)),INDEX(Inputs!C:C, MATCH("Looping &amp; retries", Inputs!B:B, 0)),INDEX(Inputs!C:C, MATCH("Human oversight (raw)", Inputs!B:B, 0))*(-1)+4,INDEX(Inputs!C:C, MATCH("Agent/tool count &amp; orchestration", Inputs!B:B, 0))),0)</f>
        <v>2</v>
      </c>
      <c r="D3" s="3">
        <f t="shared" ref="D3:D8" si="0">C3</f>
        <v>2</v>
      </c>
    </row>
    <row r="4" spans="1:4" x14ac:dyDescent="0.2">
      <c r="A4" t="s">
        <v>21</v>
      </c>
      <c r="B4" t="s">
        <v>61</v>
      </c>
      <c r="C4" s="3">
        <f>INDEX(Inputs!C:C, MATCH("PII sensitivity", Inputs!B:B, 0))</f>
        <v>1</v>
      </c>
      <c r="D4" s="3">
        <f t="shared" si="0"/>
        <v>1</v>
      </c>
    </row>
    <row r="5" spans="1:4" x14ac:dyDescent="0.2">
      <c r="A5" t="s">
        <v>62</v>
      </c>
      <c r="B5" t="s">
        <v>63</v>
      </c>
      <c r="C5" s="3">
        <f>INDEX(Inputs!C:C, MATCH("Corporate data classification", Inputs!B:B, 0))</f>
        <v>2</v>
      </c>
      <c r="D5" s="3">
        <f t="shared" si="0"/>
        <v>2</v>
      </c>
    </row>
    <row r="6" spans="1:4" x14ac:dyDescent="0.2">
      <c r="A6" t="s">
        <v>64</v>
      </c>
      <c r="B6" t="s">
        <v>65</v>
      </c>
      <c r="C6" s="3">
        <f>MAX(INDEX(Inputs!C:C, MATCH("PII sensitivity", Inputs!B:B, 0)),INDEX(Inputs!C:C, MATCH("Corporate data classification", Inputs!B:B, 0)))</f>
        <v>2</v>
      </c>
      <c r="D6" s="3">
        <f t="shared" si="0"/>
        <v>2</v>
      </c>
    </row>
    <row r="7" spans="1:4" x14ac:dyDescent="0.2">
      <c r="A7" t="s">
        <v>29</v>
      </c>
      <c r="B7" t="s">
        <v>66</v>
      </c>
      <c r="C7" s="3">
        <f>INDEX(Inputs!C:C, MATCH("Audience exposure", Inputs!B:B, 0))</f>
        <v>3</v>
      </c>
      <c r="D7" s="3">
        <f t="shared" si="0"/>
        <v>3</v>
      </c>
    </row>
    <row r="8" spans="1:4" x14ac:dyDescent="0.2">
      <c r="A8" t="s">
        <v>67</v>
      </c>
      <c r="B8" t="s">
        <v>68</v>
      </c>
      <c r="C8" s="4">
        <f>SUM(Inputs!C10:C16)</f>
        <v>0.75</v>
      </c>
      <c r="D8" s="3">
        <f t="shared" si="0"/>
        <v>0.75</v>
      </c>
    </row>
    <row r="9" spans="1:4" x14ac:dyDescent="0.2">
      <c r="A9" t="s">
        <v>69</v>
      </c>
      <c r="B9" t="s">
        <v>70</v>
      </c>
      <c r="C9" s="3">
        <f>(INDEX(Calculations!D:D, MATCH("Autonomy (average, rounded up)", Calculations!A:A, 0))*INDEX(Calculations!D:D, MATCH("Data (overall = MAX of PII &amp; Corporate)", Calculations!A:A, 0))*INDEX(Calculations!D:D, MATCH("Exposure", Calculations!A:A, 0)))</f>
        <v>12</v>
      </c>
      <c r="D9" s="3">
        <f>C9</f>
        <v>12</v>
      </c>
    </row>
    <row r="10" spans="1:4" x14ac:dyDescent="0.2">
      <c r="A10" t="s">
        <v>71</v>
      </c>
      <c r="B10" t="s">
        <v>72</v>
      </c>
      <c r="C10" s="3">
        <f>(INDEX(Calculations!D:D, MATCH("Base score", Calculations!A:A, 0))*(1+INDEX(Calculations!D:D, MATCH("Sum of modifiers", Calculations!A:A, 0))))</f>
        <v>21</v>
      </c>
      <c r="D10" s="3">
        <f>C9*(1+C8)</f>
        <v>21</v>
      </c>
    </row>
    <row r="11" spans="1:4" x14ac:dyDescent="0.2">
      <c r="A11" t="s">
        <v>73</v>
      </c>
      <c r="B11" t="s">
        <v>74</v>
      </c>
      <c r="C11" s="3" t="str">
        <f>IF(INDEX(Calculations!D:D, MATCH("Final score", Calculations!A:A, 0))&lt;=3,"GREEN",IF(INDEX(Calculations!D:D, MATCH("Final score", Calculations!A:A, 0))&lt;=12,"AMBER","RED"))</f>
        <v>RED</v>
      </c>
      <c r="D11" s="3" t="str">
        <f>C11</f>
        <v>RED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 Uyttenhove</cp:lastModifiedBy>
  <dcterms:created xsi:type="dcterms:W3CDTF">2025-11-05T15:18:21Z</dcterms:created>
  <dcterms:modified xsi:type="dcterms:W3CDTF">2025-11-05T22:56:51Z</dcterms:modified>
</cp:coreProperties>
</file>